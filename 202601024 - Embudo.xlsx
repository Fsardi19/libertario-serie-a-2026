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1. Finanzas\3. Ronda\Embudo\"/>
    </mc:Choice>
  </mc:AlternateContent>
  <xr:revisionPtr revIDLastSave="0" documentId="13_ncr:9_{AC40AFD6-EDD4-4A83-9F48-9DA051CB389E}" xr6:coauthVersionLast="47" xr6:coauthVersionMax="47" xr10:uidLastSave="{00000000-0000-0000-0000-000000000000}"/>
  <bookViews>
    <workbookView xWindow="-28920" yWindow="-120" windowWidth="29040" windowHeight="15720" activeTab="1" xr2:uid="{B8233558-D73B-4ECE-A671-82BCC020CDB8}"/>
  </bookViews>
  <sheets>
    <sheet name="Todos negocios" sheetId="1" r:id="rId1"/>
    <sheet name="Outpu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 a="1"/>
  <c r="K2" i="3" s="1"/>
  <c r="B3" i="3" a="1"/>
  <c r="B3" i="3" s="1"/>
  <c r="E17" i="3" a="1"/>
  <c r="E17" i="3" s="1"/>
  <c r="E3" i="3" a="1"/>
  <c r="E3" i="3" s="1"/>
  <c r="C50" i="3"/>
  <c r="B34" i="3" a="1"/>
  <c r="B34" i="3" s="1"/>
  <c r="B27" i="3" a="1"/>
  <c r="B27" i="3" s="1"/>
  <c r="B23" i="3" a="1"/>
  <c r="B23" i="3" s="1"/>
  <c r="B20" i="3" a="1"/>
  <c r="B20" i="3" s="1"/>
  <c r="B15" i="3" a="1"/>
  <c r="B15" i="3" s="1"/>
  <c r="B8" i="3" a="1"/>
  <c r="B8" i="3" s="1"/>
  <c r="C46" i="3" l="1"/>
  <c r="C45" i="3"/>
  <c r="C44" i="3"/>
  <c r="L3" i="3"/>
  <c r="L4" i="3"/>
  <c r="L5" i="3"/>
  <c r="L6" i="3"/>
  <c r="L7" i="3"/>
  <c r="L8" i="3"/>
  <c r="L9" i="3"/>
  <c r="D1" i="1"/>
  <c r="F6" i="3"/>
  <c r="C9" i="3"/>
  <c r="C16" i="3"/>
  <c r="F27" i="3"/>
  <c r="C20" i="3"/>
  <c r="C19" i="3" s="1"/>
  <c r="C24" i="3"/>
  <c r="C30" i="3"/>
  <c r="C37" i="3"/>
  <c r="C3" i="3" l="1"/>
  <c r="C42" i="3"/>
  <c r="C35" i="3"/>
  <c r="C27" i="3"/>
  <c r="C26" i="3" s="1"/>
  <c r="F22" i="3"/>
  <c r="F17" i="3"/>
  <c r="C12" i="3"/>
  <c r="C5" i="3"/>
  <c r="F26" i="3"/>
  <c r="C17" i="3"/>
  <c r="F8" i="3"/>
  <c r="F24" i="3"/>
  <c r="C41" i="3"/>
  <c r="C34" i="3"/>
  <c r="F21" i="3"/>
  <c r="F11" i="3"/>
  <c r="F4" i="3"/>
  <c r="C4" i="3"/>
  <c r="C38" i="3"/>
  <c r="C15" i="3"/>
  <c r="F10" i="3"/>
  <c r="F7" i="3"/>
  <c r="C40" i="3"/>
  <c r="F25" i="3"/>
  <c r="F20" i="3"/>
  <c r="C11" i="3"/>
  <c r="C8" i="3"/>
  <c r="C39" i="3"/>
  <c r="F19" i="3"/>
  <c r="F14" i="3"/>
  <c r="C10" i="3"/>
  <c r="F3" i="3"/>
  <c r="F18" i="3"/>
  <c r="F13" i="3"/>
  <c r="F9" i="3"/>
  <c r="C43" i="3"/>
  <c r="C36" i="3"/>
  <c r="C23" i="3"/>
  <c r="C22" i="3" s="1"/>
  <c r="F12" i="3"/>
  <c r="F5" i="3"/>
  <c r="F23" i="3"/>
  <c r="C33" i="3" l="1"/>
  <c r="C14" i="3"/>
  <c r="F16" i="3"/>
  <c r="F2" i="3"/>
  <c r="F29" i="3" s="1"/>
  <c r="I7" i="3"/>
  <c r="I10" i="3"/>
  <c r="I6" i="3"/>
  <c r="I9" i="3"/>
  <c r="C2" i="3"/>
  <c r="C48" i="3" s="1"/>
  <c r="C7" i="3"/>
  <c r="I4" i="3" s="1"/>
  <c r="I5" i="3"/>
  <c r="I8" i="3"/>
  <c r="H37" i="3" l="1"/>
  <c r="I3" i="3"/>
  <c r="I3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<sst xmlns="http://schemas.openxmlformats.org/spreadsheetml/2006/main" count="140" uniqueCount="71">
  <si>
    <t>Nombre del negocio</t>
  </si>
  <si>
    <t>Etapa del negocio</t>
  </si>
  <si>
    <t>Valor</t>
  </si>
  <si>
    <t>L Catertton</t>
  </si>
  <si>
    <t>Serie A</t>
  </si>
  <si>
    <t/>
  </si>
  <si>
    <t>Creadev</t>
  </si>
  <si>
    <t>Paulina Orillac - ENLIGHTENED HOSPITALITY INVESTMENTS</t>
  </si>
  <si>
    <t>Misael Castillo - CEO Star TV México</t>
  </si>
  <si>
    <t>Posibles inversionistas</t>
  </si>
  <si>
    <t>Jorge Lievano - Amigo Daniel Sardi</t>
  </si>
  <si>
    <t>Mauricio Hoyos</t>
  </si>
  <si>
    <t>Santiago Pardo</t>
  </si>
  <si>
    <t>Freddy Vega - Platzi</t>
  </si>
  <si>
    <t>Contactado - Deck enviado</t>
  </si>
  <si>
    <t>Mauricio Caicedo</t>
  </si>
  <si>
    <t>Roman Irrure</t>
  </si>
  <si>
    <t>Primer seguimiento</t>
  </si>
  <si>
    <t xml:space="preserve">Matt Parkhurst </t>
  </si>
  <si>
    <t>Aceptación - Envio de documentos</t>
  </si>
  <si>
    <t>Tom Noons</t>
  </si>
  <si>
    <t>Pablo Querubin &amp; Claudia Linares</t>
  </si>
  <si>
    <t>Firma de documentos</t>
  </si>
  <si>
    <t>Marcial Gonzalez</t>
  </si>
  <si>
    <t>Ignacio - Antonio Marin - Majaceites (España)</t>
  </si>
  <si>
    <t>Seguimiento giro</t>
  </si>
  <si>
    <t>Alberto Francis y Dillon</t>
  </si>
  <si>
    <t>Cesar Moreyra</t>
  </si>
  <si>
    <t>Convertidos (Giro)</t>
  </si>
  <si>
    <t>Olallo Villoldo - Amigo España</t>
  </si>
  <si>
    <t>Armando Sardi</t>
  </si>
  <si>
    <t>Nicolás Kling - Invernicho</t>
  </si>
  <si>
    <t>Pablo Madriñan</t>
  </si>
  <si>
    <t>Madvil Venture - Alvaro Madriñan</t>
  </si>
  <si>
    <t>Henry Medina - Maximae Vision</t>
  </si>
  <si>
    <t>Brightside Capital - Ana -Mattia Segre</t>
  </si>
  <si>
    <t>Ana Maria Sardi</t>
  </si>
  <si>
    <t>Pablo Galante</t>
  </si>
  <si>
    <t>Interés más adelante</t>
  </si>
  <si>
    <t>Martin  y Alvaro - Grupo Almodama</t>
  </si>
  <si>
    <t>Joaquin Niemann</t>
  </si>
  <si>
    <t>Alfredo Angel Casas</t>
  </si>
  <si>
    <t>Juan Sebastian Muñoz</t>
  </si>
  <si>
    <t>Familia Carmona</t>
  </si>
  <si>
    <t>Enrico Benedetti</t>
  </si>
  <si>
    <t>Francisco Diaz</t>
  </si>
  <si>
    <t>Ignacio (Agrogonzamex), contacto Daniel Sardi</t>
  </si>
  <si>
    <t>Camilo Higuera</t>
  </si>
  <si>
    <t>Familia Liechtenstein</t>
  </si>
  <si>
    <t>Diego Sardi - Ventolini</t>
  </si>
  <si>
    <t>Jorge Eduardo Leon (Tato)</t>
  </si>
  <si>
    <t>Cierre perdido</t>
  </si>
  <si>
    <t>Juan Carlos Valencia</t>
  </si>
  <si>
    <t>Paola y Marcela Sardi</t>
  </si>
  <si>
    <t>Nicolas Largacha, contacto Daniel Sardi</t>
  </si>
  <si>
    <t>Timothy Ngo</t>
  </si>
  <si>
    <t>Todd (YPO)</t>
  </si>
  <si>
    <t>Arash (YPO)</t>
  </si>
  <si>
    <t>Carlos Alberto Rodriguez - Contacto Daniel Sardi</t>
  </si>
  <si>
    <t>Oficina de familia en India - Lisa</t>
  </si>
  <si>
    <t>Jacinto Luna</t>
  </si>
  <si>
    <t>Ernesto de Lima</t>
  </si>
  <si>
    <t>TOTAL PERDIDOS</t>
  </si>
  <si>
    <t>TOTAL EMBUDO</t>
  </si>
  <si>
    <t>RESUMEN</t>
  </si>
  <si>
    <t>Brilia</t>
  </si>
  <si>
    <t>Juan Emilio</t>
  </si>
  <si>
    <t>Andrés Uribe y Pablo Sardi</t>
  </si>
  <si>
    <t>*</t>
  </si>
  <si>
    <t>Pendientes por acuerdo de pago</t>
  </si>
  <si>
    <t>Marcial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</si>
</sst>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5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0"/>
      <color theme="0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Aptos Narrow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175" fontId="0" fillId="0" borderId="0" xfId="1" applyNumberFormat="1" applyFont="1"/>
    <xf numFmtId="175" fontId="0" fillId="0" borderId="0" xfId="0" applyNumberFormat="1"/>
    <xf numFmtId="175" fontId="5" fillId="0" borderId="0" xfId="1" applyNumberFormat="1" applyFont="1" applyFill="1" applyAlignment="1">
      <alignment vertical="center"/>
    </xf>
    <xf numFmtId="175" fontId="0" fillId="0" borderId="0" xfId="1" applyNumberFormat="1" applyFont="1" applyFill="1"/>
    <xf numFmtId="0" fontId="0" fillId="0" borderId="0" xfId="0" applyFill="1"/>
    <xf numFmtId="0" fontId="6" fillId="0" borderId="0" xfId="0" applyFont="1" applyFill="1"/>
    <xf numFmtId="175" fontId="3" fillId="0" borderId="0" xfId="1" applyNumberFormat="1" applyFont="1" applyFill="1" applyAlignment="1">
      <alignment vertical="center"/>
    </xf>
    <xf numFmtId="175" fontId="3" fillId="0" borderId="0" xfId="1" applyNumberFormat="1" applyFont="1" applyFill="1"/>
    <xf numFmtId="0" fontId="2" fillId="2" borderId="0" xfId="0" applyFont="1" applyFill="1"/>
    <xf numFmtId="175" fontId="2" fillId="2" borderId="0" xfId="1" applyNumberFormat="1" applyFont="1" applyFill="1"/>
    <xf numFmtId="0" fontId="0" fillId="3" borderId="0" xfId="0" applyFill="1"/>
    <xf numFmtId="0" fontId="7" fillId="3" borderId="0" xfId="0" applyFont="1" applyFill="1"/>
    <xf numFmtId="175" fontId="5" fillId="4" borderId="0" xfId="1" applyNumberFormat="1" applyFont="1" applyFill="1" applyAlignment="1">
      <alignment vertical="center"/>
    </xf>
    <xf numFmtId="0" fontId="8" fillId="0" borderId="0" xfId="2" applyFont="1"/>
    <xf numFmtId="175" fontId="8" fillId="0" borderId="0" xfId="1" applyNumberFormat="1" applyFont="1"/>
    <xf numFmtId="175" fontId="9" fillId="0" borderId="0" xfId="1" applyNumberFormat="1" applyFont="1" applyFill="1"/>
  </cellXfs>
  <cellStyles count="3">
    <cellStyle name="Millares" xfId="1" builtinId="3"/>
    <cellStyle name="Normal" xfId="0" builtinId="0"/>
    <cellStyle name="Normal 2" xfId="2" xr:uid="{8A6247E8-95F7-42CB-A6A6-AC1A7BBEF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5770-B109-472B-9C68-C81794CE91C3}">
  <dimension ref="A1:D52"/>
  <sheetViews>
    <sheetView topLeftCell="A12" workbookViewId="0">
      <selection activeCell="C5" sqref="C5:C27"/>
    </sheetView>
  </sheetViews>
  <sheetFormatPr baseColWidth="10" defaultColWidth="8.88671875" defaultRowHeight="13.2" x14ac:dyDescent="0.25"/>
  <cols>
    <col min="1" max="1" width="50.109375" customWidth="1"/>
    <col min="2" max="2" width="29.88671875" customWidth="1"/>
    <col min="3" max="3" width="11.44140625" style="1" bestFit="1" customWidth="1"/>
    <col min="4" max="4" width="11.44140625" bestFit="1" customWidth="1"/>
    <col min="5" max="5" width="8.88671875" customWidth="1"/>
    <col min="6" max="16" width="16.44140625" customWidth="1"/>
    <col min="17" max="17" width="2" bestFit="1" customWidth="1"/>
  </cols>
  <sheetData>
    <row r="1" spans="1:4" ht="14.4" x14ac:dyDescent="0.3">
      <c r="A1" s="14" t="s">
        <v>0</v>
      </c>
      <c r="B1" s="14" t="s">
        <v>1</v>
      </c>
      <c r="C1" s="15" t="s">
        <v>2</v>
      </c>
      <c r="D1" s="1">
        <f>SUBTOTAL(9,C:C)</f>
        <v>13800000</v>
      </c>
    </row>
    <row r="2" spans="1:4" x14ac:dyDescent="0.25">
      <c r="A2" t="s">
        <v>3</v>
      </c>
      <c r="B2" t="s">
        <v>4</v>
      </c>
      <c r="C2" s="1" t="s">
        <v>5</v>
      </c>
    </row>
    <row r="3" spans="1:4" x14ac:dyDescent="0.25">
      <c r="A3" t="s">
        <v>6</v>
      </c>
      <c r="B3" t="s">
        <v>4</v>
      </c>
      <c r="C3" s="1" t="s">
        <v>5</v>
      </c>
    </row>
    <row r="4" spans="1:4" x14ac:dyDescent="0.25">
      <c r="A4" t="s">
        <v>7</v>
      </c>
      <c r="B4" t="s">
        <v>4</v>
      </c>
      <c r="C4" s="1" t="s">
        <v>5</v>
      </c>
    </row>
    <row r="5" spans="1:4" x14ac:dyDescent="0.25">
      <c r="A5" t="s">
        <v>65</v>
      </c>
      <c r="B5" t="s">
        <v>9</v>
      </c>
      <c r="C5" s="1">
        <v>500000</v>
      </c>
    </row>
    <row r="6" spans="1:4" x14ac:dyDescent="0.25">
      <c r="A6" t="s">
        <v>8</v>
      </c>
      <c r="B6" t="s">
        <v>9</v>
      </c>
      <c r="C6" s="1">
        <v>250000</v>
      </c>
    </row>
    <row r="7" spans="1:4" x14ac:dyDescent="0.25">
      <c r="A7" t="s">
        <v>10</v>
      </c>
      <c r="B7" t="s">
        <v>9</v>
      </c>
      <c r="C7" s="1">
        <v>250000</v>
      </c>
    </row>
    <row r="8" spans="1:4" x14ac:dyDescent="0.25">
      <c r="A8" t="s">
        <v>11</v>
      </c>
      <c r="B8" t="s">
        <v>9</v>
      </c>
      <c r="C8" s="1">
        <v>250000</v>
      </c>
    </row>
    <row r="9" spans="1:4" x14ac:dyDescent="0.25">
      <c r="A9" t="s">
        <v>12</v>
      </c>
      <c r="B9" t="s">
        <v>9</v>
      </c>
      <c r="C9" s="1">
        <v>500000</v>
      </c>
    </row>
    <row r="10" spans="1:4" x14ac:dyDescent="0.25">
      <c r="A10" t="s">
        <v>66</v>
      </c>
      <c r="B10" t="s">
        <v>14</v>
      </c>
      <c r="C10" s="1">
        <v>250000</v>
      </c>
    </row>
    <row r="11" spans="1:4" x14ac:dyDescent="0.25">
      <c r="A11" t="s">
        <v>13</v>
      </c>
      <c r="B11" t="s">
        <v>14</v>
      </c>
      <c r="C11" s="1">
        <v>250000</v>
      </c>
    </row>
    <row r="12" spans="1:4" x14ac:dyDescent="0.25">
      <c r="A12" t="s">
        <v>15</v>
      </c>
      <c r="B12" t="s">
        <v>14</v>
      </c>
      <c r="C12" s="1">
        <v>250000</v>
      </c>
    </row>
    <row r="13" spans="1:4" x14ac:dyDescent="0.25">
      <c r="A13" t="s">
        <v>16</v>
      </c>
      <c r="B13" t="s">
        <v>17</v>
      </c>
      <c r="C13" s="1">
        <v>250000</v>
      </c>
    </row>
    <row r="14" spans="1:4" x14ac:dyDescent="0.25">
      <c r="A14" t="s">
        <v>18</v>
      </c>
      <c r="B14" t="s">
        <v>19</v>
      </c>
      <c r="C14" s="1">
        <v>250000</v>
      </c>
    </row>
    <row r="15" spans="1:4" x14ac:dyDescent="0.25">
      <c r="A15" t="s">
        <v>20</v>
      </c>
      <c r="B15" t="s">
        <v>19</v>
      </c>
      <c r="C15" s="1">
        <v>250000</v>
      </c>
    </row>
    <row r="16" spans="1:4" x14ac:dyDescent="0.25">
      <c r="A16" t="s">
        <v>24</v>
      </c>
      <c r="B16" t="s">
        <v>22</v>
      </c>
      <c r="C16" s="1">
        <v>500000</v>
      </c>
    </row>
    <row r="17" spans="1:3" x14ac:dyDescent="0.25">
      <c r="A17" t="s">
        <v>67</v>
      </c>
      <c r="B17" t="s">
        <v>28</v>
      </c>
      <c r="C17" s="1">
        <v>250000</v>
      </c>
    </row>
    <row r="18" spans="1:3" x14ac:dyDescent="0.25">
      <c r="A18" t="s">
        <v>27</v>
      </c>
      <c r="B18" t="s">
        <v>28</v>
      </c>
      <c r="C18" s="1">
        <v>250000</v>
      </c>
    </row>
    <row r="19" spans="1:3" x14ac:dyDescent="0.25">
      <c r="A19" t="s">
        <v>21</v>
      </c>
      <c r="B19" t="s">
        <v>28</v>
      </c>
      <c r="C19" s="1">
        <v>250000</v>
      </c>
    </row>
    <row r="20" spans="1:3" x14ac:dyDescent="0.25">
      <c r="A20" t="s">
        <v>23</v>
      </c>
      <c r="B20" t="s">
        <v>28</v>
      </c>
      <c r="C20" s="1">
        <v>200000</v>
      </c>
    </row>
    <row r="21" spans="1:3" x14ac:dyDescent="0.25">
      <c r="A21" t="s">
        <v>29</v>
      </c>
      <c r="B21" t="s">
        <v>28</v>
      </c>
      <c r="C21" s="1">
        <v>500000</v>
      </c>
    </row>
    <row r="22" spans="1:3" x14ac:dyDescent="0.25">
      <c r="A22" t="s">
        <v>30</v>
      </c>
      <c r="B22" t="s">
        <v>28</v>
      </c>
      <c r="C22" s="1">
        <v>250000</v>
      </c>
    </row>
    <row r="23" spans="1:3" x14ac:dyDescent="0.25">
      <c r="A23" t="s">
        <v>26</v>
      </c>
      <c r="B23" t="s">
        <v>28</v>
      </c>
      <c r="C23" s="1">
        <v>250000</v>
      </c>
    </row>
    <row r="24" spans="1:3" x14ac:dyDescent="0.25">
      <c r="A24" t="s">
        <v>31</v>
      </c>
      <c r="B24" t="s">
        <v>28</v>
      </c>
      <c r="C24" s="1">
        <v>250000</v>
      </c>
    </row>
    <row r="25" spans="1:3" x14ac:dyDescent="0.25">
      <c r="A25" t="s">
        <v>32</v>
      </c>
      <c r="B25" t="s">
        <v>28</v>
      </c>
      <c r="C25" s="1">
        <v>250000</v>
      </c>
    </row>
    <row r="26" spans="1:3" x14ac:dyDescent="0.25">
      <c r="A26" t="s">
        <v>33</v>
      </c>
      <c r="B26" t="s">
        <v>28</v>
      </c>
      <c r="C26" s="1">
        <v>500000</v>
      </c>
    </row>
    <row r="27" spans="1:3" x14ac:dyDescent="0.25">
      <c r="A27" t="s">
        <v>34</v>
      </c>
      <c r="B27" t="s">
        <v>28</v>
      </c>
      <c r="C27" s="1">
        <v>250000</v>
      </c>
    </row>
    <row r="28" spans="1:3" x14ac:dyDescent="0.25">
      <c r="A28" t="s">
        <v>35</v>
      </c>
      <c r="B28" t="s">
        <v>28</v>
      </c>
      <c r="C28" s="1">
        <v>250000</v>
      </c>
    </row>
    <row r="29" spans="1:3" x14ac:dyDescent="0.25">
      <c r="A29" t="s">
        <v>36</v>
      </c>
      <c r="B29" t="s">
        <v>28</v>
      </c>
      <c r="C29" s="1">
        <v>250000</v>
      </c>
    </row>
    <row r="30" spans="1:3" x14ac:dyDescent="0.25">
      <c r="A30" t="s">
        <v>37</v>
      </c>
      <c r="B30" t="s">
        <v>38</v>
      </c>
      <c r="C30" s="1">
        <v>250000</v>
      </c>
    </row>
    <row r="31" spans="1:3" x14ac:dyDescent="0.25">
      <c r="A31" t="s">
        <v>39</v>
      </c>
      <c r="B31" t="s">
        <v>38</v>
      </c>
      <c r="C31" s="1">
        <v>250000</v>
      </c>
    </row>
    <row r="32" spans="1:3" x14ac:dyDescent="0.25">
      <c r="A32" t="s">
        <v>40</v>
      </c>
      <c r="B32" t="s">
        <v>38</v>
      </c>
      <c r="C32" s="1">
        <v>500000</v>
      </c>
    </row>
    <row r="33" spans="1:3" x14ac:dyDescent="0.25">
      <c r="A33" t="s">
        <v>41</v>
      </c>
      <c r="B33" t="s">
        <v>38</v>
      </c>
      <c r="C33" s="1">
        <v>250000</v>
      </c>
    </row>
    <row r="34" spans="1:3" x14ac:dyDescent="0.25">
      <c r="A34" t="s">
        <v>42</v>
      </c>
      <c r="B34" t="s">
        <v>38</v>
      </c>
      <c r="C34" s="1">
        <v>500000</v>
      </c>
    </row>
    <row r="35" spans="1:3" x14ac:dyDescent="0.25">
      <c r="A35" t="s">
        <v>43</v>
      </c>
      <c r="B35" t="s">
        <v>38</v>
      </c>
      <c r="C35" s="1">
        <v>250000</v>
      </c>
    </row>
    <row r="36" spans="1:3" x14ac:dyDescent="0.25">
      <c r="A36" t="s">
        <v>44</v>
      </c>
      <c r="B36" t="s">
        <v>38</v>
      </c>
      <c r="C36" s="1">
        <v>250000</v>
      </c>
    </row>
    <row r="37" spans="1:3" x14ac:dyDescent="0.25">
      <c r="A37" t="s">
        <v>45</v>
      </c>
      <c r="B37" t="s">
        <v>38</v>
      </c>
      <c r="C37" s="1">
        <v>250000</v>
      </c>
    </row>
    <row r="38" spans="1:3" x14ac:dyDescent="0.25">
      <c r="A38" t="s">
        <v>46</v>
      </c>
      <c r="B38" t="s">
        <v>38</v>
      </c>
      <c r="C38" s="1">
        <v>250000</v>
      </c>
    </row>
    <row r="39" spans="1:3" x14ac:dyDescent="0.25">
      <c r="A39" t="s">
        <v>47</v>
      </c>
      <c r="B39" t="s">
        <v>38</v>
      </c>
      <c r="C39" s="1">
        <v>250000</v>
      </c>
    </row>
    <row r="40" spans="1:3" x14ac:dyDescent="0.25">
      <c r="A40" t="s">
        <v>48</v>
      </c>
      <c r="B40" t="s">
        <v>38</v>
      </c>
      <c r="C40" s="1">
        <v>250000</v>
      </c>
    </row>
    <row r="41" spans="1:3" x14ac:dyDescent="0.25">
      <c r="A41" t="s">
        <v>49</v>
      </c>
      <c r="B41" t="s">
        <v>38</v>
      </c>
      <c r="C41" s="1">
        <v>350000</v>
      </c>
    </row>
    <row r="42" spans="1:3" x14ac:dyDescent="0.25">
      <c r="A42" t="s">
        <v>50</v>
      </c>
      <c r="B42" t="s">
        <v>51</v>
      </c>
      <c r="C42" s="1">
        <v>250000</v>
      </c>
    </row>
    <row r="43" spans="1:3" x14ac:dyDescent="0.25">
      <c r="A43" t="s">
        <v>52</v>
      </c>
      <c r="B43" t="s">
        <v>51</v>
      </c>
      <c r="C43" s="1">
        <v>250000</v>
      </c>
    </row>
    <row r="44" spans="1:3" x14ac:dyDescent="0.25">
      <c r="A44" t="s">
        <v>53</v>
      </c>
      <c r="B44" t="s">
        <v>51</v>
      </c>
      <c r="C44" s="1">
        <v>250000</v>
      </c>
    </row>
    <row r="45" spans="1:3" x14ac:dyDescent="0.25">
      <c r="A45" t="s">
        <v>54</v>
      </c>
      <c r="B45" t="s">
        <v>51</v>
      </c>
      <c r="C45" s="1">
        <v>250000</v>
      </c>
    </row>
    <row r="46" spans="1:3" x14ac:dyDescent="0.25">
      <c r="A46" t="s">
        <v>55</v>
      </c>
      <c r="B46" t="s">
        <v>51</v>
      </c>
      <c r="C46" s="1">
        <v>250000</v>
      </c>
    </row>
    <row r="47" spans="1:3" x14ac:dyDescent="0.25">
      <c r="A47" t="s">
        <v>56</v>
      </c>
      <c r="B47" t="s">
        <v>51</v>
      </c>
      <c r="C47" s="1">
        <v>250000</v>
      </c>
    </row>
    <row r="48" spans="1:3" x14ac:dyDescent="0.25">
      <c r="A48" t="s">
        <v>57</v>
      </c>
      <c r="B48" t="s">
        <v>51</v>
      </c>
      <c r="C48" s="1">
        <v>250000</v>
      </c>
    </row>
    <row r="49" spans="1:3" x14ac:dyDescent="0.25">
      <c r="A49" t="s">
        <v>58</v>
      </c>
      <c r="B49" t="s">
        <v>51</v>
      </c>
      <c r="C49" s="1">
        <v>250000</v>
      </c>
    </row>
    <row r="50" spans="1:3" x14ac:dyDescent="0.25">
      <c r="A50" t="s">
        <v>59</v>
      </c>
      <c r="B50" t="s">
        <v>51</v>
      </c>
      <c r="C50" s="1">
        <v>250000</v>
      </c>
    </row>
    <row r="51" spans="1:3" x14ac:dyDescent="0.25">
      <c r="A51" t="s">
        <v>60</v>
      </c>
      <c r="B51" t="s">
        <v>51</v>
      </c>
      <c r="C51" s="1">
        <v>250000</v>
      </c>
    </row>
    <row r="52" spans="1:3" x14ac:dyDescent="0.25">
      <c r="A52" t="s">
        <v>61</v>
      </c>
      <c r="B52" t="s">
        <v>51</v>
      </c>
      <c r="C52" s="1">
        <v>250000</v>
      </c>
    </row>
  </sheetData>
  <sheetCalcPr fullCalcOnLoad="1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A11E-BB89-4004-A0F5-D55507210E3B}">
  <dimension ref="A2:L68"/>
  <sheetViews>
    <sheetView showGridLines="0" tabSelected="1" zoomScaleNormal="100" workbookViewId="0">
      <selection activeCell="H29" sqref="H29"/>
    </sheetView>
  </sheetViews>
  <sheetFormatPr baseColWidth="10" defaultRowHeight="13.2" x14ac:dyDescent="0.25"/>
  <cols>
    <col min="1" max="1" width="2.77734375" style="5" customWidth="1"/>
    <col min="2" max="2" width="53.109375" bestFit="1" customWidth="1"/>
    <col min="3" max="3" width="10.77734375" customWidth="1"/>
    <col min="4" max="4" width="2.77734375" style="5" customWidth="1"/>
    <col min="5" max="5" width="53.109375" bestFit="1" customWidth="1"/>
    <col min="6" max="6" width="10.77734375" customWidth="1"/>
    <col min="7" max="7" width="2.77734375" style="5" customWidth="1"/>
    <col min="8" max="8" width="29.5546875" style="5" bestFit="1" customWidth="1"/>
    <col min="9" max="9" width="17.77734375" customWidth="1"/>
    <col min="10" max="10" width="10.77734375" customWidth="1"/>
    <col min="11" max="11" width="29.5546875" bestFit="1" customWidth="1"/>
    <col min="12" max="12" width="10.77734375" customWidth="1"/>
    <col min="13" max="13" width="17.77734375" customWidth="1"/>
    <col min="14" max="14" width="10.77734375" customWidth="1"/>
    <col min="15" max="15" width="17.77734375" customWidth="1"/>
    <col min="16" max="16" width="10.77734375" customWidth="1"/>
    <col min="17" max="17" width="17.77734375" customWidth="1"/>
    <col min="18" max="18" width="10.77734375" customWidth="1"/>
    <col min="19" max="19" width="17.77734375" customWidth="1"/>
    <col min="20" max="20" width="10.77734375" customWidth="1"/>
    <col min="21" max="21" width="17.77734375" customWidth="1"/>
    <col min="22" max="22" width="10.77734375" customWidth="1"/>
    <col min="23" max="23" width="17.77734375" customWidth="1"/>
    <col min="24" max="24" width="10.77734375" customWidth="1"/>
    <col min="25" max="25" width="17.77734375" customWidth="1"/>
    <col min="26" max="26" width="10.77734375" customWidth="1"/>
  </cols>
  <sheetData>
    <row r="2" spans="1:12" x14ac:dyDescent="0.25">
      <c r="A2" s="6" t="s">
        <v>68</v>
      </c>
      <c r="B2" s="13" t="s">
        <v>4</v>
      </c>
      <c r="C2" s="13">
        <f>SUM(C3:C5)</f>
        <v>0</v>
      </c>
      <c r="D2" s="3"/>
      <c r="E2" s="13" t="s">
        <v>38</v>
      </c>
      <c r="F2" s="13">
        <f>SUM(F3:F14)</f>
        <v>3600000</v>
      </c>
      <c r="G2" s="3"/>
      <c r="H2" s="12" t="s">
        <v>64</v>
      </c>
      <c r="I2" s="11"/>
      <c r="K2" t="str" cm="1">
        <f t="array" ref="K2:K12">_xlfn.UNIQUE('Todos negocios'!B:B)</f>
        <v>Etapa del negocio</v>
      </c>
    </row>
    <row r="3" spans="1:12" x14ac:dyDescent="0.25">
      <c r="B3" t="str" cm="1">
        <f t="array" ref="B3:B5">_xlfn.UNIQUE(_xlfn._xlws.FILTER('Todos negocios'!$A:$A,'Todos negocios'!$B:$B=B2))</f>
        <v>L Catertton</v>
      </c>
      <c r="C3" s="1" t="str">
        <f>_xlfn.XLOOKUP(B3,'Todos negocios'!$A:$A,'Todos negocios'!$C:$C)</f>
        <v/>
      </c>
      <c r="D3" s="4"/>
      <c r="E3" t="str" cm="1">
        <f t="array" ref="E3:E14">_xlfn.UNIQUE(_xlfn._xlws.FILTER('Todos negocios'!$A:$A,'Todos negocios'!$B:$B=E2))</f>
        <v>Pablo Galante</v>
      </c>
      <c r="F3" s="1">
        <f>_xlfn.XLOOKUP(E3,'Todos negocios'!$A:$A,'Todos negocios'!$C:$C)</f>
        <v>250000</v>
      </c>
      <c r="G3" s="4"/>
      <c r="H3" t="s">
        <v>4</v>
      </c>
      <c r="I3" s="1">
        <f>SUMIFS($C:$C,$B:$B,H3)</f>
        <v>0</v>
      </c>
      <c r="K3" t="str">
        <v>Serie A</v>
      </c>
      <c r="L3" t="str">
        <f>_xlfn.XLOOKUP(K3,Output!B:B,Output!B:B,"Incluir")</f>
        <v>Serie A</v>
      </c>
    </row>
    <row r="4" spans="1:12" x14ac:dyDescent="0.25">
      <c r="B4" t="str">
        <v>Creadev</v>
      </c>
      <c r="C4" s="1" t="str">
        <f>_xlfn.XLOOKUP(B4,'Todos negocios'!$A:$A,'Todos negocios'!$C:$C)</f>
        <v/>
      </c>
      <c r="D4" s="4"/>
      <c r="E4" t="str">
        <v>Martin  y Alvaro - Grupo Almodama</v>
      </c>
      <c r="F4" s="1">
        <f>_xlfn.XLOOKUP(E4,'Todos negocios'!$A:$A,'Todos negocios'!$C:$C)</f>
        <v>250000</v>
      </c>
      <c r="G4" s="4"/>
      <c r="H4" t="s">
        <v>9</v>
      </c>
      <c r="I4" s="1">
        <f>SUMIFS($C:$C,$B:$B,H4)</f>
        <v>1750000</v>
      </c>
      <c r="K4" t="str">
        <v>Posibles inversionistas</v>
      </c>
      <c r="L4" t="str">
        <f>_xlfn.XLOOKUP(K4,Output!B:B,Output!B:B,"Incluir")</f>
        <v>Posibles inversionistas</v>
      </c>
    </row>
    <row r="5" spans="1:12" x14ac:dyDescent="0.25">
      <c r="B5" t="str">
        <v>Paulina Orillac - ENLIGHTENED HOSPITALITY INVESTMENTS</v>
      </c>
      <c r="C5" s="1" t="str">
        <f>_xlfn.XLOOKUP(B5,'Todos negocios'!$A:$A,'Todos negocios'!$C:$C)</f>
        <v/>
      </c>
      <c r="D5" s="4"/>
      <c r="E5" t="str">
        <v>Joaquin Niemann</v>
      </c>
      <c r="F5" s="1">
        <f>_xlfn.XLOOKUP(E5,'Todos negocios'!$A:$A,'Todos negocios'!$C:$C)</f>
        <v>500000</v>
      </c>
      <c r="G5" s="4"/>
      <c r="H5" t="s">
        <v>14</v>
      </c>
      <c r="I5" s="1">
        <f>SUMIFS($C:$C,$B:$B,H5)</f>
        <v>750000</v>
      </c>
      <c r="K5" t="str">
        <v>Contactado - Deck enviado</v>
      </c>
      <c r="L5" t="str">
        <f>_xlfn.XLOOKUP(K5,Output!B:B,Output!B:B,"Incluir")</f>
        <v>Contactado - Deck enviado</v>
      </c>
    </row>
    <row r="6" spans="1:12" x14ac:dyDescent="0.25">
      <c r="A6" s="6"/>
      <c r="D6" s="3"/>
      <c r="E6" t="str">
        <v>Alfredo Angel Casas</v>
      </c>
      <c r="F6" s="1">
        <f>_xlfn.XLOOKUP(E6,'Todos negocios'!$A:$A,'Todos negocios'!$C:$C)</f>
        <v>250000</v>
      </c>
      <c r="G6" s="3"/>
      <c r="H6" t="s">
        <v>17</v>
      </c>
      <c r="I6" s="1">
        <f>SUMIFS($C:$C,$B:$B,H6)</f>
        <v>250000</v>
      </c>
      <c r="K6" t="str">
        <v>Primer seguimiento</v>
      </c>
      <c r="L6" t="str">
        <f>_xlfn.XLOOKUP(K6,Output!B:B,Output!B:B,"Incluir")</f>
        <v>Primer seguimiento</v>
      </c>
    </row>
    <row r="7" spans="1:12" x14ac:dyDescent="0.25">
      <c r="A7" s="5" t="s">
        <v>68</v>
      </c>
      <c r="B7" s="13" t="s">
        <v>9</v>
      </c>
      <c r="C7" s="13">
        <f>SUM(C8:C12)</f>
        <v>1750000</v>
      </c>
      <c r="D7" s="4"/>
      <c r="E7" t="str">
        <v>Juan Sebastian Muñoz</v>
      </c>
      <c r="F7" s="1">
        <f>_xlfn.XLOOKUP(E7,'Todos negocios'!$A:$A,'Todos negocios'!$C:$C)</f>
        <v>500000</v>
      </c>
      <c r="G7" s="4"/>
      <c r="H7" t="s">
        <v>19</v>
      </c>
      <c r="I7" s="1">
        <f>SUMIFS($C:$C,$B:$B,H7)</f>
        <v>500000</v>
      </c>
      <c r="K7" t="str">
        <v>Aceptación - Envio de documentos</v>
      </c>
      <c r="L7" t="str">
        <f>_xlfn.XLOOKUP(K7,Output!B:B,Output!B:B,"Incluir")</f>
        <v>Aceptación - Envio de documentos</v>
      </c>
    </row>
    <row r="8" spans="1:12" x14ac:dyDescent="0.25">
      <c r="B8" t="str" cm="1">
        <f t="array" ref="B8:B12">_xlfn.UNIQUE(_xlfn._xlws.FILTER('Todos negocios'!$A:$A,'Todos negocios'!$B:$B=B7))</f>
        <v>Brilia</v>
      </c>
      <c r="C8" s="1">
        <f>_xlfn.XLOOKUP(B8,'Todos negocios'!$A:$A,'Todos negocios'!$C:$C)</f>
        <v>500000</v>
      </c>
      <c r="D8" s="4"/>
      <c r="E8" t="str">
        <v>Familia Carmona</v>
      </c>
      <c r="F8" s="1">
        <f>_xlfn.XLOOKUP(E8,'Todos negocios'!$A:$A,'Todos negocios'!$C:$C)</f>
        <v>250000</v>
      </c>
      <c r="G8" s="4"/>
      <c r="H8" t="s">
        <v>22</v>
      </c>
      <c r="I8" s="1">
        <f>SUMIFS($C:$C,$B:$B,H8)</f>
        <v>500000</v>
      </c>
      <c r="K8" t="str">
        <v>Firma de documentos</v>
      </c>
      <c r="L8" t="str">
        <f>_xlfn.XLOOKUP(K8,Output!B:B,Output!B:B,"Incluir")</f>
        <v>Firma de documentos</v>
      </c>
    </row>
    <row r="9" spans="1:12" x14ac:dyDescent="0.25">
      <c r="B9" t="str">
        <v>Misael Castillo - CEO Star TV México</v>
      </c>
      <c r="C9" s="1">
        <f>_xlfn.XLOOKUP(B9,'Todos negocios'!$A:$A,'Todos negocios'!$C:$C)</f>
        <v>250000</v>
      </c>
      <c r="D9" s="4"/>
      <c r="E9" t="str">
        <v>Enrico Benedetti</v>
      </c>
      <c r="F9" s="1">
        <f>_xlfn.XLOOKUP(E9,'Todos negocios'!$A:$A,'Todos negocios'!$C:$C)</f>
        <v>250000</v>
      </c>
      <c r="G9" s="4"/>
      <c r="H9" t="s">
        <v>25</v>
      </c>
      <c r="I9" s="1">
        <f>SUMIFS($C:$C,$B:$B,H9)</f>
        <v>0</v>
      </c>
      <c r="K9" t="str">
        <v>Convertidos (Giro)</v>
      </c>
      <c r="L9" t="str">
        <f>_xlfn.XLOOKUP(K9,Output!B:B,Output!B:B,"Incluir")</f>
        <v>Convertidos (Giro)</v>
      </c>
    </row>
    <row r="10" spans="1:12" x14ac:dyDescent="0.25">
      <c r="B10" t="str">
        <v>Jorge Lievano - Amigo Daniel Sardi</v>
      </c>
      <c r="C10" s="1">
        <f>_xlfn.XLOOKUP(B10,'Todos negocios'!$A:$A,'Todos negocios'!$C:$C)</f>
        <v>250000</v>
      </c>
      <c r="D10" s="4"/>
      <c r="E10" t="str">
        <v>Francisco Diaz</v>
      </c>
      <c r="F10" s="1">
        <f>_xlfn.XLOOKUP(E10,'Todos negocios'!$A:$A,'Todos negocios'!$C:$C)</f>
        <v>250000</v>
      </c>
      <c r="G10" s="4"/>
      <c r="H10" t="s">
        <v>28</v>
      </c>
      <c r="I10" s="1">
        <f>SUMIFS($C:$C,$B:$B,H10)</f>
        <v>3700000</v>
      </c>
      <c r="K10" t="str">
        <v>Interés más adelante</v>
      </c>
    </row>
    <row r="11" spans="1:12" x14ac:dyDescent="0.25">
      <c r="A11" s="6"/>
      <c r="B11" t="str">
        <v>Mauricio Hoyos</v>
      </c>
      <c r="C11" s="1">
        <f>_xlfn.XLOOKUP(B11,'Todos negocios'!$A:$A,'Todos negocios'!$C:$C)</f>
        <v>250000</v>
      </c>
      <c r="D11" s="3"/>
      <c r="E11" t="str">
        <v>Ignacio (Agrogonzamex), contacto Daniel Sardi</v>
      </c>
      <c r="F11" s="1">
        <f>_xlfn.XLOOKUP(E11,'Todos negocios'!$A:$A,'Todos negocios'!$C:$C)</f>
        <v>250000</v>
      </c>
      <c r="G11" s="3"/>
      <c r="H11" s="3"/>
      <c r="K11" t="str">
        <v>Cierre perdido</v>
      </c>
    </row>
    <row r="12" spans="1:12" x14ac:dyDescent="0.25">
      <c r="B12" t="str">
        <v>Santiago Pardo</v>
      </c>
      <c r="C12" s="1">
        <f>_xlfn.XLOOKUP(B12,'Todos negocios'!$A:$A,'Todos negocios'!$C:$C)</f>
        <v>500000</v>
      </c>
      <c r="D12" s="4"/>
      <c r="E12" t="str">
        <v>Camilo Higuera</v>
      </c>
      <c r="F12" s="1">
        <f>_xlfn.XLOOKUP(E12,'Todos negocios'!$A:$A,'Todos negocios'!$C:$C)</f>
        <v>250000</v>
      </c>
      <c r="G12" s="4"/>
      <c r="H12" s="4"/>
      <c r="K12">
        <v>0</v>
      </c>
    </row>
    <row r="13" spans="1:12" x14ac:dyDescent="0.25">
      <c r="D13" s="4"/>
      <c r="E13" t="str">
        <v>Familia Liechtenstein</v>
      </c>
      <c r="F13" s="1">
        <f>_xlfn.XLOOKUP(E13,'Todos negocios'!$A:$A,'Todos negocios'!$C:$C)</f>
        <v>250000</v>
      </c>
      <c r="G13" s="4"/>
      <c r="H13" s="4"/>
    </row>
    <row r="14" spans="1:12" x14ac:dyDescent="0.25">
      <c r="A14" s="5" t="s">
        <v>68</v>
      </c>
      <c r="B14" s="13" t="s">
        <v>14</v>
      </c>
      <c r="C14" s="13">
        <f>SUM(C15:C17)</f>
        <v>750000</v>
      </c>
      <c r="D14" s="3"/>
      <c r="E14" t="str">
        <v>Diego Sardi - Ventolini</v>
      </c>
      <c r="F14" s="1">
        <f>_xlfn.XLOOKUP(E14,'Todos negocios'!$A:$A,'Todos negocios'!$C:$C)</f>
        <v>350000</v>
      </c>
      <c r="G14" s="3"/>
      <c r="H14" s="3"/>
    </row>
    <row r="15" spans="1:12" x14ac:dyDescent="0.25">
      <c r="B15" t="str" cm="1">
        <f t="array" ref="B15:B17">_xlfn.UNIQUE(_xlfn._xlws.FILTER('Todos negocios'!$A:$A,'Todos negocios'!$B:$B=B14))</f>
        <v>Juan Emilio</v>
      </c>
      <c r="C15" s="1">
        <f>_xlfn.XLOOKUP(B15,'Todos negocios'!$A:$A,'Todos negocios'!$C:$C)</f>
        <v>250000</v>
      </c>
      <c r="D15" s="4"/>
      <c r="G15" s="4"/>
      <c r="H15" s="4"/>
    </row>
    <row r="16" spans="1:12" x14ac:dyDescent="0.25">
      <c r="A16" s="6"/>
      <c r="B16" t="str">
        <v>Freddy Vega - Platzi</v>
      </c>
      <c r="C16" s="1">
        <f>_xlfn.XLOOKUP(B16,'Todos negocios'!$A:$A,'Todos negocios'!$C:$C)</f>
        <v>250000</v>
      </c>
      <c r="D16" s="3"/>
      <c r="E16" s="13" t="s">
        <v>51</v>
      </c>
      <c r="F16" s="13">
        <f>SUM(F17:F27)</f>
        <v>2750000</v>
      </c>
      <c r="G16" s="3"/>
      <c r="H16" s="3"/>
    </row>
    <row r="17" spans="1:10" x14ac:dyDescent="0.25">
      <c r="B17" t="str">
        <v>Mauricio Caicedo</v>
      </c>
      <c r="C17" s="1">
        <f>_xlfn.XLOOKUP(B17,'Todos negocios'!$A:$A,'Todos negocios'!$C:$C)</f>
        <v>250000</v>
      </c>
      <c r="D17" s="4"/>
      <c r="E17" t="str" cm="1">
        <f t="array" ref="E17:E27">_xlfn.UNIQUE(_xlfn._xlws.FILTER('Todos negocios'!$A:$A,'Todos negocios'!$B:$B=E16))</f>
        <v>Jorge Eduardo Leon (Tato)</v>
      </c>
      <c r="F17" s="7">
        <f>_xlfn.XLOOKUP(E17,'Todos negocios'!$A:$A,'Todos negocios'!$C:$C)</f>
        <v>250000</v>
      </c>
      <c r="G17" s="4"/>
      <c r="H17" s="4"/>
    </row>
    <row r="18" spans="1:10" x14ac:dyDescent="0.25">
      <c r="D18" s="4"/>
      <c r="E18" t="str">
        <v>Juan Carlos Valencia</v>
      </c>
      <c r="F18" s="8">
        <f>_xlfn.XLOOKUP(E18,'Todos negocios'!$A:$A,'Todos negocios'!$C:$C)</f>
        <v>250000</v>
      </c>
      <c r="G18" s="4"/>
      <c r="H18" s="4"/>
    </row>
    <row r="19" spans="1:10" x14ac:dyDescent="0.25">
      <c r="A19" s="5" t="s">
        <v>68</v>
      </c>
      <c r="B19" s="13" t="s">
        <v>17</v>
      </c>
      <c r="C19" s="13">
        <f>SUM(C20)</f>
        <v>250000</v>
      </c>
      <c r="D19" s="3"/>
      <c r="E19" t="str">
        <v>Paola y Marcela Sardi</v>
      </c>
      <c r="F19" s="8">
        <f>_xlfn.XLOOKUP(E19,'Todos negocios'!$A:$A,'Todos negocios'!$C:$C)</f>
        <v>250000</v>
      </c>
      <c r="G19" s="3"/>
      <c r="H19" s="3"/>
    </row>
    <row r="20" spans="1:10" x14ac:dyDescent="0.25">
      <c r="B20" t="str" cm="1">
        <f t="array" ref="B20">_xlfn.UNIQUE(_xlfn._xlws.FILTER('Todos negocios'!$A:$A,'Todos negocios'!$B:$B=B19))</f>
        <v>Roman Irrure</v>
      </c>
      <c r="C20" s="1">
        <f>_xlfn.XLOOKUP(B20,'Todos negocios'!$A:$A,'Todos negocios'!$C:$C)</f>
        <v>250000</v>
      </c>
      <c r="D20" s="4"/>
      <c r="E20" t="str">
        <v>Nicolas Largacha, contacto Daniel Sardi</v>
      </c>
      <c r="F20" s="7">
        <f>_xlfn.XLOOKUP(E20,'Todos negocios'!$A:$A,'Todos negocios'!$C:$C)</f>
        <v>250000</v>
      </c>
      <c r="G20" s="4"/>
      <c r="H20" s="4"/>
    </row>
    <row r="21" spans="1:10" x14ac:dyDescent="0.25">
      <c r="D21" s="4"/>
      <c r="E21" t="str">
        <v>Timothy Ngo</v>
      </c>
      <c r="F21" s="8">
        <f>_xlfn.XLOOKUP(E21,'Todos negocios'!$A:$A,'Todos negocios'!$C:$C)</f>
        <v>250000</v>
      </c>
      <c r="G21" s="4"/>
      <c r="H21" s="4"/>
    </row>
    <row r="22" spans="1:10" x14ac:dyDescent="0.25">
      <c r="A22" s="5" t="s">
        <v>68</v>
      </c>
      <c r="B22" s="13" t="s">
        <v>19</v>
      </c>
      <c r="C22" s="13">
        <f>SUM(C23:C24)</f>
        <v>500000</v>
      </c>
      <c r="D22" s="4"/>
      <c r="E22" t="str">
        <v>Todd (YPO)</v>
      </c>
      <c r="F22" s="8">
        <f>_xlfn.XLOOKUP(E22,'Todos negocios'!$A:$A,'Todos negocios'!$C:$C)</f>
        <v>250000</v>
      </c>
      <c r="G22" s="4"/>
      <c r="H22" s="4"/>
    </row>
    <row r="23" spans="1:10" x14ac:dyDescent="0.25">
      <c r="A23" s="6"/>
      <c r="B23" t="str" cm="1">
        <f t="array" ref="B23:B24">_xlfn.UNIQUE(_xlfn._xlws.FILTER('Todos negocios'!$A:$A,'Todos negocios'!$B:$B=B22))</f>
        <v xml:space="preserve">Matt Parkhurst </v>
      </c>
      <c r="C23" s="1">
        <f>_xlfn.XLOOKUP(B23,'Todos negocios'!$A:$A,'Todos negocios'!$C:$C)</f>
        <v>250000</v>
      </c>
      <c r="D23" s="3"/>
      <c r="E23" t="str">
        <v>Arash (YPO)</v>
      </c>
      <c r="F23" s="8">
        <f>_xlfn.XLOOKUP(E23,'Todos negocios'!$A:$A,'Todos negocios'!$C:$C)</f>
        <v>250000</v>
      </c>
      <c r="G23" s="3"/>
      <c r="H23" s="3"/>
    </row>
    <row r="24" spans="1:10" x14ac:dyDescent="0.25">
      <c r="B24" t="str">
        <v>Tom Noons</v>
      </c>
      <c r="C24" s="1">
        <f>_xlfn.XLOOKUP(B24,'Todos negocios'!$A:$A,'Todos negocios'!$C:$C)</f>
        <v>250000</v>
      </c>
      <c r="D24" s="4"/>
      <c r="E24" t="str">
        <v>Carlos Alberto Rodriguez - Contacto Daniel Sardi</v>
      </c>
      <c r="F24" s="7">
        <f>_xlfn.XLOOKUP(E24,'Todos negocios'!$A:$A,'Todos negocios'!$C:$C)</f>
        <v>250000</v>
      </c>
      <c r="G24" s="4"/>
      <c r="H24" s="4"/>
    </row>
    <row r="25" spans="1:10" x14ac:dyDescent="0.25">
      <c r="D25" s="4"/>
      <c r="E25" t="str">
        <v>Oficina de familia en India - Lisa</v>
      </c>
      <c r="F25" s="8">
        <f>_xlfn.XLOOKUP(E25,'Todos negocios'!$A:$A,'Todos negocios'!$C:$C)</f>
        <v>250000</v>
      </c>
      <c r="G25" s="4"/>
      <c r="H25" s="4"/>
    </row>
    <row r="26" spans="1:10" x14ac:dyDescent="0.25">
      <c r="A26" s="5" t="s">
        <v>68</v>
      </c>
      <c r="B26" s="13" t="s">
        <v>22</v>
      </c>
      <c r="C26" s="13">
        <f>SUM(C27:C29)</f>
        <v>500000</v>
      </c>
      <c r="D26" s="3"/>
      <c r="E26" t="str">
        <v>Jacinto Luna</v>
      </c>
      <c r="F26" s="8">
        <f>_xlfn.XLOOKUP(E26,'Todos negocios'!$A:$A,'Todos negocios'!$C:$C)</f>
        <v>250000</v>
      </c>
      <c r="G26" s="3"/>
      <c r="H26" s="3"/>
      <c r="J26" s="2"/>
    </row>
    <row r="27" spans="1:10" x14ac:dyDescent="0.25">
      <c r="B27" t="str" cm="1">
        <f t="array" ref="B27">_xlfn.UNIQUE(_xlfn._xlws.FILTER('Todos negocios'!$A:$A,'Todos negocios'!$B:$B=B26))</f>
        <v>Ignacio - Antonio Marin - Majaceites (España)</v>
      </c>
      <c r="C27" s="1">
        <f>_xlfn.XLOOKUP(B27,'Todos negocios'!$A:$A,'Todos negocios'!$C:$C)</f>
        <v>500000</v>
      </c>
      <c r="D27" s="4"/>
      <c r="E27" t="str">
        <v>Ernesto de Lima</v>
      </c>
      <c r="F27" s="7">
        <f>_xlfn.XLOOKUP(E27,'Todos negocios'!$A:$A,'Todos negocios'!$C:$C)</f>
        <v>250000</v>
      </c>
      <c r="G27" s="4"/>
      <c r="H27" s="4"/>
      <c r="J27" s="2"/>
    </row>
    <row r="28" spans="1:10" x14ac:dyDescent="0.25">
      <c r="C28" s="1"/>
      <c r="D28" s="4"/>
      <c r="F28" s="1"/>
      <c r="G28" s="4"/>
      <c r="H28" s="4"/>
    </row>
    <row r="29" spans="1:10" x14ac:dyDescent="0.25">
      <c r="C29" s="1"/>
      <c r="D29" s="4"/>
      <c r="E29" s="9" t="s">
        <v>62</v>
      </c>
      <c r="F29" s="10">
        <f>F2+F16</f>
        <v>6350000</v>
      </c>
      <c r="G29" s="4"/>
      <c r="H29" s="4"/>
    </row>
    <row r="30" spans="1:10" x14ac:dyDescent="0.25">
      <c r="A30" s="5" t="s">
        <v>68</v>
      </c>
      <c r="B30" s="13" t="s">
        <v>25</v>
      </c>
      <c r="C30" s="13">
        <f>SUM(C31:C31)</f>
        <v>0</v>
      </c>
      <c r="D30" s="4"/>
      <c r="F30" s="1"/>
      <c r="G30" s="4"/>
      <c r="H30" s="4"/>
    </row>
    <row r="31" spans="1:10" x14ac:dyDescent="0.25">
      <c r="C31" s="1"/>
      <c r="D31" s="4"/>
      <c r="F31" s="1"/>
      <c r="G31" s="4"/>
      <c r="H31" s="4"/>
    </row>
    <row r="32" spans="1:10" x14ac:dyDescent="0.25">
      <c r="D32" s="4"/>
      <c r="F32" s="1"/>
      <c r="G32" s="4"/>
      <c r="H32" s="4"/>
    </row>
    <row r="33" spans="1:9" x14ac:dyDescent="0.25">
      <c r="A33" s="5" t="s">
        <v>68</v>
      </c>
      <c r="B33" s="13" t="s">
        <v>28</v>
      </c>
      <c r="C33" s="13">
        <f>SUM(C34:C46)</f>
        <v>3700000</v>
      </c>
      <c r="D33" s="4"/>
      <c r="F33" s="1"/>
      <c r="G33" s="4"/>
      <c r="H33" s="4"/>
    </row>
    <row r="34" spans="1:9" x14ac:dyDescent="0.25">
      <c r="B34" t="str" cm="1">
        <f t="array" ref="B34:B46">_xlfn.UNIQUE(_xlfn._xlws.FILTER('Todos negocios'!$A:$A,'Todos negocios'!$B:$B=B33))</f>
        <v>Andrés Uribe y Pablo Sardi</v>
      </c>
      <c r="C34" s="1">
        <f>_xlfn.XLOOKUP(B34,'Todos negocios'!$A:$A,'Todos negocios'!$C:$C)</f>
        <v>250000</v>
      </c>
      <c r="D34" s="4"/>
      <c r="F34" s="1"/>
      <c r="G34" s="4"/>
      <c r="H34" s="4"/>
    </row>
    <row r="35" spans="1:9" x14ac:dyDescent="0.25">
      <c r="B35" t="str">
        <v>Cesar Moreyra</v>
      </c>
      <c r="C35" s="1">
        <f>_xlfn.XLOOKUP(B35,'Todos negocios'!$A:$A,'Todos negocios'!$C:$C)</f>
        <v>250000</v>
      </c>
      <c r="D35" s="4"/>
      <c r="F35" s="1"/>
      <c r="G35" s="4"/>
      <c r="H35" s="4"/>
    </row>
    <row r="36" spans="1:9" x14ac:dyDescent="0.25">
      <c r="B36" t="str">
        <v>Pablo Querubin &amp; Claudia Linares</v>
      </c>
      <c r="C36" s="1">
        <f>_xlfn.XLOOKUP(B36,'Todos negocios'!$A:$A,'Todos negocios'!$C:$C)</f>
        <v>250000</v>
      </c>
      <c r="D36" s="3"/>
      <c r="G36" s="3"/>
      <c r="H36" s="3"/>
    </row>
    <row r="37" spans="1:9" x14ac:dyDescent="0.25">
      <c r="B37" t="str">
        <v>Marcial Gonzalez</v>
      </c>
      <c r="C37" s="1">
        <f>_xlfn.XLOOKUP(B37,'Todos negocios'!$A:$A,'Todos negocios'!$C:$C)</f>
        <v>200000</v>
      </c>
      <c r="D37" s="4"/>
      <c r="G37" s="4"/>
      <c r="H37" s="16">
        <f>F29+C48-'Todos negocios'!D1</f>
        <v>0</v>
      </c>
      <c r="I37" s="16">
        <f>SUM(I3:I10)-C48</f>
        <v>0</v>
      </c>
    </row>
    <row r="38" spans="1:9" x14ac:dyDescent="0.25">
      <c r="B38" t="str">
        <v>Olallo Villoldo - Amigo España</v>
      </c>
      <c r="C38" s="1">
        <f>_xlfn.XLOOKUP(B38,'Todos negocios'!$A:$A,'Todos negocios'!$C:$C)</f>
        <v>500000</v>
      </c>
      <c r="D38" s="4"/>
      <c r="G38" s="4"/>
      <c r="H38" s="4"/>
    </row>
    <row r="39" spans="1:9" x14ac:dyDescent="0.25">
      <c r="B39" t="str">
        <v>Armando Sardi</v>
      </c>
      <c r="C39" s="1">
        <f>_xlfn.XLOOKUP(B39,'Todos negocios'!$A:$A,'Todos negocios'!$C:$C)</f>
        <v>250000</v>
      </c>
      <c r="D39" s="4"/>
      <c r="G39" s="4"/>
      <c r="H39" s="4"/>
    </row>
    <row r="40" spans="1:9" x14ac:dyDescent="0.25">
      <c r="B40" t="str">
        <v>Alberto Francis y Dillon</v>
      </c>
      <c r="C40" s="1">
        <f>_xlfn.XLOOKUP(B40,'Todos negocios'!$A:$A,'Todos negocios'!$C:$C)</f>
        <v>250000</v>
      </c>
      <c r="D40" s="4"/>
      <c r="G40" s="4"/>
      <c r="H40" s="4"/>
    </row>
    <row r="41" spans="1:9" x14ac:dyDescent="0.25">
      <c r="B41" t="str">
        <v>Nicolás Kling - Invernicho</v>
      </c>
      <c r="C41" s="1">
        <f>_xlfn.XLOOKUP(B41,'Todos negocios'!$A:$A,'Todos negocios'!$C:$C)</f>
        <v>250000</v>
      </c>
      <c r="D41" s="4"/>
      <c r="G41" s="4"/>
      <c r="H41" s="4"/>
    </row>
    <row r="42" spans="1:9" x14ac:dyDescent="0.25">
      <c r="B42" t="str">
        <v>Pablo Madriñan</v>
      </c>
      <c r="C42" s="1">
        <f>_xlfn.XLOOKUP(B42,'Todos negocios'!$A:$A,'Todos negocios'!$C:$C)</f>
        <v>250000</v>
      </c>
      <c r="D42" s="4"/>
      <c r="G42" s="4"/>
      <c r="H42" s="4"/>
    </row>
    <row r="43" spans="1:9" x14ac:dyDescent="0.25">
      <c r="B43" t="str">
        <v>Madvil Venture - Alvaro Madriñan</v>
      </c>
      <c r="C43" s="1">
        <f>_xlfn.XLOOKUP(B43,'Todos negocios'!$A:$A,'Todos negocios'!$C:$C)</f>
        <v>500000</v>
      </c>
      <c r="D43" s="4"/>
      <c r="G43" s="4"/>
      <c r="H43" s="4"/>
    </row>
    <row r="44" spans="1:9" x14ac:dyDescent="0.25">
      <c r="B44" t="str">
        <v>Henry Medina - Maximae Vision</v>
      </c>
      <c r="C44" s="1">
        <f>_xlfn.XLOOKUP(B44,'Todos negocios'!$A:$A,'Todos negocios'!$C:$C)</f>
        <v>250000</v>
      </c>
      <c r="D44" s="4"/>
      <c r="G44" s="4"/>
      <c r="H44" s="4"/>
    </row>
    <row r="45" spans="1:9" x14ac:dyDescent="0.25">
      <c r="B45" t="str">
        <v>Brightside Capital - Ana -Mattia Segre</v>
      </c>
      <c r="C45" s="1">
        <f>_xlfn.XLOOKUP(B45,'Todos negocios'!$A:$A,'Todos negocios'!$C:$C)</f>
        <v>250000</v>
      </c>
      <c r="D45" s="4"/>
      <c r="G45" s="4"/>
      <c r="H45" s="4"/>
    </row>
    <row r="46" spans="1:9" x14ac:dyDescent="0.25">
      <c r="B46" t="str">
        <v>Ana Maria Sardi</v>
      </c>
      <c r="C46" s="1">
        <f>_xlfn.XLOOKUP(B46,'Todos negocios'!$A:$A,'Todos negocios'!$C:$C)</f>
        <v>250000</v>
      </c>
      <c r="D46" s="4"/>
      <c r="G46" s="4"/>
      <c r="H46" s="4"/>
    </row>
    <row r="47" spans="1:9" x14ac:dyDescent="0.25">
      <c r="C47" s="1"/>
      <c r="D47" s="4"/>
      <c r="G47" s="4"/>
      <c r="H47" s="4"/>
    </row>
    <row r="48" spans="1:9" x14ac:dyDescent="0.25">
      <c r="B48" s="9" t="s">
        <v>63</v>
      </c>
      <c r="C48" s="10">
        <f>SUMIFS(C2:C53,A2:A53,"*")</f>
        <v>7450000</v>
      </c>
      <c r="D48" s="4"/>
      <c r="G48" s="4"/>
      <c r="H48" s="4"/>
    </row>
    <row r="49" spans="2:8" x14ac:dyDescent="0.25">
      <c r="C49" s="1"/>
      <c r="D49" s="4"/>
      <c r="G49" s="4"/>
      <c r="H49" s="4"/>
    </row>
    <row r="50" spans="2:8" x14ac:dyDescent="0.25">
      <c r="B50" s="13" t="s">
        <v>69</v>
      </c>
      <c r="C50" s="13">
        <f>SUM(C51:C52)</f>
        <v>290000</v>
      </c>
      <c r="D50" s="4"/>
      <c r="G50" s="4"/>
      <c r="H50" s="4"/>
    </row>
    <row r="51" spans="2:8" s="5" customFormat="1" x14ac:dyDescent="0.25">
      <c r="B51" s="7" t="s">
        <v>70</v>
      </c>
      <c r="C51" s="7">
        <v>90000</v>
      </c>
      <c r="D51" s="4"/>
      <c r="G51" s="4"/>
      <c r="H51" s="4"/>
    </row>
    <row r="52" spans="2:8" s="5" customFormat="1" x14ac:dyDescent="0.25">
      <c r="B52" s="7" t="s">
        <v>21</v>
      </c>
      <c r="C52" s="7">
        <v>200000</v>
      </c>
      <c r="D52" s="4"/>
      <c r="G52" s="4"/>
      <c r="H52" s="4"/>
    </row>
    <row r="53" spans="2:8" s="5" customFormat="1" x14ac:dyDescent="0.25">
      <c r="B53" s="7"/>
      <c r="C53" s="7"/>
      <c r="D53" s="4"/>
      <c r="G53" s="4"/>
      <c r="H53" s="4"/>
    </row>
    <row r="54" spans="2:8" x14ac:dyDescent="0.25">
      <c r="D54" s="4"/>
      <c r="G54" s="4"/>
      <c r="H54" s="4"/>
    </row>
    <row r="55" spans="2:8" x14ac:dyDescent="0.25">
      <c r="D55" s="4"/>
      <c r="G55" s="4"/>
      <c r="H55" s="4"/>
    </row>
    <row r="56" spans="2:8" x14ac:dyDescent="0.25">
      <c r="D56" s="4"/>
      <c r="G56" s="4"/>
      <c r="H56" s="4"/>
    </row>
    <row r="57" spans="2:8" x14ac:dyDescent="0.25">
      <c r="D57" s="3"/>
      <c r="G57" s="3"/>
      <c r="H57" s="3"/>
    </row>
    <row r="58" spans="2:8" x14ac:dyDescent="0.25">
      <c r="D58" s="4"/>
      <c r="G58" s="4"/>
      <c r="H58" s="4"/>
    </row>
    <row r="59" spans="2:8" x14ac:dyDescent="0.25">
      <c r="D59" s="4"/>
      <c r="G59" s="4"/>
      <c r="H59" s="4"/>
    </row>
    <row r="60" spans="2:8" x14ac:dyDescent="0.25">
      <c r="D60" s="4"/>
      <c r="G60" s="4"/>
      <c r="H60" s="4"/>
    </row>
    <row r="61" spans="2:8" x14ac:dyDescent="0.25">
      <c r="D61" s="4"/>
      <c r="G61" s="4"/>
      <c r="H61" s="4"/>
    </row>
    <row r="62" spans="2:8" x14ac:dyDescent="0.25">
      <c r="D62" s="4"/>
      <c r="G62" s="4"/>
      <c r="H62" s="4"/>
    </row>
    <row r="63" spans="2:8" x14ac:dyDescent="0.25">
      <c r="D63" s="4"/>
      <c r="G63" s="4"/>
      <c r="H63" s="4"/>
    </row>
    <row r="64" spans="2:8" x14ac:dyDescent="0.25">
      <c r="D64" s="4"/>
      <c r="G64" s="4"/>
      <c r="H64" s="4"/>
    </row>
    <row r="65" spans="4:8" x14ac:dyDescent="0.25">
      <c r="D65" s="4"/>
      <c r="G65" s="4"/>
      <c r="H65" s="4"/>
    </row>
    <row r="66" spans="4:8" x14ac:dyDescent="0.25">
      <c r="D66" s="4"/>
      <c r="G66" s="4"/>
      <c r="H66" s="4"/>
    </row>
    <row r="67" spans="4:8" x14ac:dyDescent="0.25">
      <c r="D67" s="4"/>
      <c r="G67" s="4"/>
      <c r="H67" s="4"/>
    </row>
    <row r="68" spans="4:8" x14ac:dyDescent="0.25">
      <c r="D68" s="4"/>
      <c r="G68" s="4"/>
      <c r="H68" s="4"/>
    </row>
  </sheetData>
  <sheetCalcPr fullCalcOnLoa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 negocios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Directora Financiera</dc:creator>
  <cp:lastModifiedBy>Directora Financiera</cp:lastModifiedBy>
  <dcterms:created xsi:type="dcterms:W3CDTF">2025-12-09T22:42:18Z</dcterms:created>
  <dcterms:modified xsi:type="dcterms:W3CDTF">2026-01-07T19:42:27Z</dcterms:modified>
</cp:coreProperties>
</file>